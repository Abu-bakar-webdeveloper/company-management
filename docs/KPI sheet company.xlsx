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Template" sheetId="1" r:id="rId5"/>
    <sheet state="visible" name="Usman" sheetId="2" r:id="rId6"/>
  </sheets>
  <definedNames/>
  <calcPr/>
</workbook>
</file>

<file path=xl/sharedStrings.xml><?xml version="1.0" encoding="utf-8"?>
<sst xmlns="http://schemas.openxmlformats.org/spreadsheetml/2006/main" count="174" uniqueCount="75">
  <si>
    <t>Employee KPI Evaluation Sheet</t>
  </si>
  <si>
    <t>Section Summary</t>
  </si>
  <si>
    <t>Employee Name</t>
  </si>
  <si>
    <t>XYZ</t>
  </si>
  <si>
    <t>Usman</t>
  </si>
  <si>
    <t>Month</t>
  </si>
  <si>
    <t>Evaluator</t>
  </si>
  <si>
    <t>Review Date</t>
  </si>
  <si>
    <t>Section</t>
  </si>
  <si>
    <t>Max</t>
  </si>
  <si>
    <t>Score</t>
  </si>
  <si>
    <t>Delivery &amp; Task Completion</t>
  </si>
  <si>
    <t>No.</t>
  </si>
  <si>
    <t>KPI Category</t>
  </si>
  <si>
    <t>Sub-KPI</t>
  </si>
  <si>
    <t>Max Marks</t>
  </si>
  <si>
    <t>Marks Obtained</t>
  </si>
  <si>
    <t>Remarks</t>
  </si>
  <si>
    <t>Daily Discipline &amp; Availability</t>
  </si>
  <si>
    <t>1.1</t>
  </si>
  <si>
    <t>Tasks completed on time</t>
  </si>
  <si>
    <t>Problem Solving &amp; Ownership</t>
  </si>
  <si>
    <t>1.2</t>
  </si>
  <si>
    <t>Quality (bugs / rework)</t>
  </si>
  <si>
    <t>Communication &amp; Teamwork</t>
  </si>
  <si>
    <t>1.3</t>
  </si>
  <si>
    <t>Meeting deadlines (milestones)</t>
  </si>
  <si>
    <t>Technical Excellence</t>
  </si>
  <si>
    <t>Subtotal - Delivery &amp; Task Completion</t>
  </si>
  <si>
    <t>Attendance / WFH</t>
  </si>
  <si>
    <t>2.1</t>
  </si>
  <si>
    <t>Daily check-in / updates</t>
  </si>
  <si>
    <t>Adjusted Score</t>
  </si>
  <si>
    <t>2.2</t>
  </si>
  <si>
    <t>Availability during work hours</t>
  </si>
  <si>
    <t>Performance</t>
  </si>
  <si>
    <t>2.3</t>
  </si>
  <si>
    <t>Response time</t>
  </si>
  <si>
    <t>Subtotal - Daily Discipline &amp; Availability</t>
  </si>
  <si>
    <t>3.1</t>
  </si>
  <si>
    <t>Solves issues independently</t>
  </si>
  <si>
    <t>3.2</t>
  </si>
  <si>
    <t>Takes ownership (no excuses)</t>
  </si>
  <si>
    <t>3.3</t>
  </si>
  <si>
    <t>Suggests improvements</t>
  </si>
  <si>
    <t>Subtotal - Problem Solving &amp; Ownership</t>
  </si>
  <si>
    <t>4.1</t>
  </si>
  <si>
    <t>Clear communication</t>
  </si>
  <si>
    <t>4.2</t>
  </si>
  <si>
    <t>Collaboration with team</t>
  </si>
  <si>
    <t>Subtotal - Communication &amp; Teamwork</t>
  </si>
  <si>
    <t>5.1</t>
  </si>
  <si>
    <t>Code Quality / Technical Excellence</t>
  </si>
  <si>
    <t>Clean code / structure</t>
  </si>
  <si>
    <t>5.2</t>
  </si>
  <si>
    <t>Best practices / performance</t>
  </si>
  <si>
    <t>Subtotal - Code Quality / Technical Excellence</t>
  </si>
  <si>
    <t>6.1</t>
  </si>
  <si>
    <t>Attendance / Leaves / WFH Discipline</t>
  </si>
  <si>
    <t>Attendance consistency</t>
  </si>
  <si>
    <t>6.2</t>
  </si>
  <si>
    <t>Leave / WFH policy follow</t>
  </si>
  <si>
    <t>Subtotal - Attendance / Leaves / WFH Discipline</t>
  </si>
  <si>
    <t>TOTAL SCORE</t>
  </si>
  <si>
    <t>Bonus (+)</t>
  </si>
  <si>
    <t>Penalty (-)</t>
  </si>
  <si>
    <t>Final Adjusted Score</t>
  </si>
  <si>
    <t>Performance Level</t>
  </si>
  <si>
    <t>Scoring Guide</t>
  </si>
  <si>
    <t>90–100 = Excellent</t>
  </si>
  <si>
    <t>75–89 = Good</t>
  </si>
  <si>
    <t>60–74 = Needs Improvement</t>
  </si>
  <si>
    <t>Below 60 = Poor</t>
  </si>
  <si>
    <t>Bonus examples: extra effort, client appreciation, critical bug fix</t>
  </si>
  <si>
    <t>Penalty examples: missed deadlines, no communication, repeated mistakes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</si>
</sst>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1.0"/>
      <color rgb="FFFFFFFF"/>
      <name val="Carlito"/>
    </font>
    <font/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6FA"/>
        <bgColor rgb="FFF3F6FA"/>
      </patternFill>
    </fill>
    <fill>
      <patternFill patternType="solid">
        <fgColor rgb="FF5B9BD5"/>
        <bgColor rgb="FF5B9BD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164" xfId="0" applyFont="1" applyNumberFormat="1"/>
    <xf borderId="1" fillId="4" fontId="5" numFmtId="0" xfId="0" applyAlignment="1" applyBorder="1" applyFill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4" fillId="0" fontId="4" numFmtId="0" xfId="0" applyBorder="1" applyFont="1"/>
    <xf borderId="0" fillId="0" fontId="4" numFmtId="0" xfId="0" applyFont="1"/>
    <xf borderId="5" fillId="0" fontId="4" numFmtId="0" xfId="0" applyBorder="1" applyFont="1"/>
    <xf borderId="4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5" fillId="0" fontId="4" numFmtId="0" xfId="0" applyAlignment="1" applyBorder="1" applyFont="1">
      <alignment shrinkToFit="0" vertical="center" wrapText="1"/>
    </xf>
    <xf borderId="4" fillId="5" fontId="2" numFmtId="0" xfId="0" applyAlignment="1" applyBorder="1" applyFill="1" applyFont="1">
      <alignment vertical="center"/>
    </xf>
    <xf borderId="0" fillId="5" fontId="2" numFmtId="0" xfId="0" applyAlignment="1" applyFont="1">
      <alignment horizontal="center" vertical="center"/>
    </xf>
    <xf borderId="5" fillId="5" fontId="2" numFmtId="0" xfId="0" applyAlignment="1" applyBorder="1" applyFont="1">
      <alignment shrinkToFit="0" vertical="center" wrapText="1"/>
    </xf>
    <xf borderId="4" fillId="6" fontId="2" numFmtId="0" xfId="0" applyBorder="1" applyFill="1" applyFont="1"/>
    <xf borderId="5" fillId="6" fontId="2" numFmtId="0" xfId="0" applyBorder="1" applyFont="1"/>
    <xf borderId="6" fillId="6" fontId="2" numFmtId="0" xfId="0" applyBorder="1" applyFont="1"/>
    <xf borderId="7" fillId="0" fontId="6" numFmtId="0" xfId="0" applyBorder="1" applyFont="1"/>
    <xf borderId="8" fillId="6" fontId="2" numFmtId="0" xfId="0" applyBorder="1" applyFont="1"/>
    <xf borderId="4" fillId="6" fontId="2" numFmtId="0" xfId="0" applyAlignment="1" applyBorder="1" applyFont="1">
      <alignment vertical="center"/>
    </xf>
    <xf borderId="0" fillId="6" fontId="2" numFmtId="0" xfId="0" applyAlignment="1" applyFont="1">
      <alignment horizontal="center" vertical="center"/>
    </xf>
    <xf borderId="5" fillId="6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1">
    <dxf>
      <font>
        <b/>
      </font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8.0"/>
    <col customWidth="1" min="3" max="3" width="34.0"/>
    <col customWidth="1" min="4" max="4" width="12.0"/>
    <col customWidth="1" min="5" max="5" width="14.0"/>
    <col customWidth="1" min="6" max="6" width="24.0"/>
    <col customWidth="1" min="7" max="7" width="8.63"/>
    <col customWidth="1" min="8" max="8" width="28.0"/>
    <col customWidth="1" min="9" max="9" width="10.0"/>
    <col customWidth="1" min="10" max="10" width="12.0"/>
    <col customWidth="1" min="11" max="26" width="8.63"/>
  </cols>
  <sheetData>
    <row r="1">
      <c r="A1" s="1" t="s">
        <v>0</v>
      </c>
      <c r="H1" s="1" t="s">
        <v>1</v>
      </c>
    </row>
    <row r="2">
      <c r="A2" s="2" t="s">
        <v>2</v>
      </c>
      <c r="B2" s="3" t="s">
        <v>3</v>
      </c>
      <c r="D2" s="3" t="s">
        <v>5</v>
      </c>
    </row>
    <row r="3">
      <c r="A3" s="2" t="s">
        <v>6</v>
      </c>
      <c r="D3" s="3" t="s">
        <v>7</v>
      </c>
      <c r="E3" s="5">
        <v>46113.0</v>
      </c>
      <c r="H3" s="6" t="s">
        <v>8</v>
      </c>
      <c r="I3" s="7" t="s">
        <v>9</v>
      </c>
      <c r="J3" s="8" t="s">
        <v>10</v>
      </c>
    </row>
    <row r="4">
      <c r="H4" s="9" t="s">
        <v>11</v>
      </c>
      <c r="I4" s="10">
        <v>40.0</v>
      </c>
      <c r="J4" s="11">
        <f>E9</f>
        <v>0</v>
      </c>
    </row>
    <row r="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 t="s">
        <v>17</v>
      </c>
      <c r="H5" s="9" t="s">
        <v>18</v>
      </c>
      <c r="I5" s="10">
        <v>15.0</v>
      </c>
      <c r="J5" s="11">
        <f>E13</f>
        <v>0</v>
      </c>
    </row>
    <row r="6">
      <c r="A6" s="12" t="s">
        <v>19</v>
      </c>
      <c r="B6" s="13" t="s">
        <v>11</v>
      </c>
      <c r="C6" s="14" t="s">
        <v>20</v>
      </c>
      <c r="D6" s="15">
        <v>20.0</v>
      </c>
      <c r="E6" s="15"/>
      <c r="F6" s="17"/>
      <c r="H6" s="9" t="s">
        <v>21</v>
      </c>
      <c r="I6" s="10">
        <v>15.0</v>
      </c>
      <c r="J6" s="11">
        <f>E17</f>
        <v>0</v>
      </c>
    </row>
    <row r="7">
      <c r="A7" s="12" t="s">
        <v>22</v>
      </c>
      <c r="B7" s="13" t="s">
        <v>11</v>
      </c>
      <c r="C7" s="14" t="s">
        <v>23</v>
      </c>
      <c r="D7" s="15">
        <v>10.0</v>
      </c>
      <c r="E7" s="15"/>
      <c r="F7" s="17"/>
      <c r="H7" s="9" t="s">
        <v>24</v>
      </c>
      <c r="I7" s="10">
        <v>10.0</v>
      </c>
      <c r="J7" s="11">
        <f>E20</f>
        <v>0</v>
      </c>
    </row>
    <row r="8">
      <c r="A8" s="12" t="s">
        <v>25</v>
      </c>
      <c r="B8" s="13" t="s">
        <v>11</v>
      </c>
      <c r="C8" s="14" t="s">
        <v>26</v>
      </c>
      <c r="D8" s="15">
        <v>10.0</v>
      </c>
      <c r="E8" s="15"/>
      <c r="F8" s="17"/>
      <c r="H8" s="9" t="s">
        <v>27</v>
      </c>
      <c r="I8" s="10">
        <v>10.0</v>
      </c>
      <c r="J8" s="11">
        <f>E23</f>
        <v>0</v>
      </c>
    </row>
    <row r="9">
      <c r="A9" s="18" t="s">
        <v>28</v>
      </c>
      <c r="D9" s="19">
        <f t="shared" ref="D9:E9" si="1">SUM(D6:D8)</f>
        <v>40</v>
      </c>
      <c r="E9" s="19">
        <f t="shared" si="1"/>
        <v>0</v>
      </c>
      <c r="F9" s="20"/>
      <c r="H9" s="9" t="s">
        <v>29</v>
      </c>
      <c r="I9" s="10">
        <v>10.0</v>
      </c>
      <c r="J9" s="11">
        <f>E26</f>
        <v>0</v>
      </c>
    </row>
    <row r="10">
      <c r="A10" s="12" t="s">
        <v>30</v>
      </c>
      <c r="B10" s="13" t="s">
        <v>18</v>
      </c>
      <c r="C10" s="14" t="s">
        <v>31</v>
      </c>
      <c r="D10" s="15">
        <v>5.0</v>
      </c>
      <c r="E10" s="15"/>
      <c r="F10" s="17"/>
      <c r="H10" s="21" t="s">
        <v>32</v>
      </c>
      <c r="J10" s="22">
        <f t="shared" ref="J10:J11" si="2">E31</f>
        <v>0</v>
      </c>
    </row>
    <row r="11">
      <c r="A11" s="12" t="s">
        <v>33</v>
      </c>
      <c r="B11" s="13" t="s">
        <v>18</v>
      </c>
      <c r="C11" s="14" t="s">
        <v>34</v>
      </c>
      <c r="D11" s="15">
        <v>5.0</v>
      </c>
      <c r="E11" s="15"/>
      <c r="F11" s="17"/>
      <c r="H11" s="23" t="s">
        <v>35</v>
      </c>
      <c r="I11" s="24"/>
      <c r="J11" s="25" t="str">
        <f t="shared" si="2"/>
        <v>Poor</v>
      </c>
    </row>
    <row r="12">
      <c r="A12" s="12" t="s">
        <v>36</v>
      </c>
      <c r="B12" s="13" t="s">
        <v>18</v>
      </c>
      <c r="C12" s="14" t="s">
        <v>37</v>
      </c>
      <c r="D12" s="15">
        <v>5.0</v>
      </c>
      <c r="E12" s="15"/>
      <c r="F12" s="17"/>
    </row>
    <row r="13">
      <c r="A13" s="18" t="s">
        <v>38</v>
      </c>
      <c r="D13" s="19">
        <f t="shared" ref="D13:E13" si="3">SUM(D10:D12)</f>
        <v>15</v>
      </c>
      <c r="E13" s="19">
        <f t="shared" si="3"/>
        <v>0</v>
      </c>
      <c r="F13" s="20"/>
    </row>
    <row r="14">
      <c r="A14" s="12" t="s">
        <v>39</v>
      </c>
      <c r="B14" s="13" t="s">
        <v>21</v>
      </c>
      <c r="C14" s="14" t="s">
        <v>40</v>
      </c>
      <c r="D14" s="15">
        <v>5.0</v>
      </c>
      <c r="E14" s="15"/>
      <c r="F14" s="17"/>
    </row>
    <row r="15">
      <c r="A15" s="12" t="s">
        <v>41</v>
      </c>
      <c r="B15" s="13" t="s">
        <v>21</v>
      </c>
      <c r="C15" s="14" t="s">
        <v>42</v>
      </c>
      <c r="D15" s="15">
        <v>5.0</v>
      </c>
      <c r="E15" s="15"/>
      <c r="F15" s="17"/>
    </row>
    <row r="16">
      <c r="A16" s="12" t="s">
        <v>43</v>
      </c>
      <c r="B16" s="13" t="s">
        <v>21</v>
      </c>
      <c r="C16" s="14" t="s">
        <v>44</v>
      </c>
      <c r="D16" s="15">
        <v>5.0</v>
      </c>
      <c r="E16" s="15"/>
      <c r="F16" s="17"/>
    </row>
    <row r="17">
      <c r="A17" s="18" t="s">
        <v>45</v>
      </c>
      <c r="D17" s="19">
        <f t="shared" ref="D17:E17" si="4">SUM(D14:D16)</f>
        <v>15</v>
      </c>
      <c r="E17" s="19">
        <f t="shared" si="4"/>
        <v>0</v>
      </c>
      <c r="F17" s="20"/>
    </row>
    <row r="18">
      <c r="A18" s="12" t="s">
        <v>46</v>
      </c>
      <c r="B18" s="13" t="s">
        <v>24</v>
      </c>
      <c r="C18" s="14" t="s">
        <v>47</v>
      </c>
      <c r="D18" s="15">
        <v>5.0</v>
      </c>
      <c r="E18" s="15"/>
      <c r="F18" s="17"/>
    </row>
    <row r="19">
      <c r="A19" s="12" t="s">
        <v>48</v>
      </c>
      <c r="B19" s="13" t="s">
        <v>24</v>
      </c>
      <c r="C19" s="14" t="s">
        <v>49</v>
      </c>
      <c r="D19" s="15">
        <v>5.0</v>
      </c>
      <c r="E19" s="15"/>
      <c r="F19" s="17"/>
    </row>
    <row r="20">
      <c r="A20" s="18" t="s">
        <v>50</v>
      </c>
      <c r="D20" s="19">
        <f t="shared" ref="D20:E20" si="5">SUM(D18:D19)</f>
        <v>10</v>
      </c>
      <c r="E20" s="19">
        <f t="shared" si="5"/>
        <v>0</v>
      </c>
      <c r="F20" s="20"/>
    </row>
    <row r="21" ht="15.75" customHeight="1">
      <c r="A21" s="12" t="s">
        <v>51</v>
      </c>
      <c r="B21" s="13" t="s">
        <v>52</v>
      </c>
      <c r="C21" s="14" t="s">
        <v>53</v>
      </c>
      <c r="D21" s="15">
        <v>5.0</v>
      </c>
      <c r="E21" s="15"/>
      <c r="F21" s="17"/>
    </row>
    <row r="22" ht="15.75" customHeight="1">
      <c r="A22" s="12" t="s">
        <v>54</v>
      </c>
      <c r="B22" s="13" t="s">
        <v>52</v>
      </c>
      <c r="C22" s="14" t="s">
        <v>55</v>
      </c>
      <c r="D22" s="15">
        <v>5.0</v>
      </c>
      <c r="E22" s="15"/>
      <c r="F22" s="17"/>
    </row>
    <row r="23" ht="15.75" customHeight="1">
      <c r="A23" s="18" t="s">
        <v>56</v>
      </c>
      <c r="D23" s="19">
        <f t="shared" ref="D23:E23" si="6">SUM(D21:D22)</f>
        <v>10</v>
      </c>
      <c r="E23" s="19">
        <f t="shared" si="6"/>
        <v>0</v>
      </c>
      <c r="F23" s="20"/>
    </row>
    <row r="24" ht="15.75" customHeight="1">
      <c r="A24" s="12" t="s">
        <v>57</v>
      </c>
      <c r="B24" s="13" t="s">
        <v>58</v>
      </c>
      <c r="C24" s="14" t="s">
        <v>59</v>
      </c>
      <c r="D24" s="15">
        <v>5.0</v>
      </c>
      <c r="E24" s="15"/>
      <c r="F24" s="17"/>
    </row>
    <row r="25" ht="15.75" customHeight="1">
      <c r="A25" s="12" t="s">
        <v>60</v>
      </c>
      <c r="B25" s="13" t="s">
        <v>58</v>
      </c>
      <c r="C25" s="14" t="s">
        <v>61</v>
      </c>
      <c r="D25" s="15">
        <v>5.0</v>
      </c>
      <c r="E25" s="15"/>
      <c r="F25" s="17"/>
    </row>
    <row r="26" ht="15.75" customHeight="1">
      <c r="A26" s="18" t="s">
        <v>62</v>
      </c>
      <c r="D26" s="19">
        <f t="shared" ref="D26:E26" si="7">SUM(D24:D25)</f>
        <v>10</v>
      </c>
      <c r="E26" s="19">
        <f t="shared" si="7"/>
        <v>0</v>
      </c>
      <c r="F26" s="20"/>
    </row>
    <row r="27" ht="15.75" customHeight="1">
      <c r="A27" s="12"/>
      <c r="B27" s="13"/>
      <c r="C27" s="14"/>
      <c r="D27" s="15"/>
      <c r="E27" s="15"/>
      <c r="F27" s="17"/>
    </row>
    <row r="28" ht="15.75" customHeight="1">
      <c r="A28" s="26" t="s">
        <v>63</v>
      </c>
      <c r="E28" s="27">
        <f>SUM(E9,E13,E17,E20,E23,E26)</f>
        <v>0</v>
      </c>
      <c r="F28" s="28"/>
    </row>
    <row r="29" ht="15.75" customHeight="1">
      <c r="A29" s="26" t="s">
        <v>64</v>
      </c>
      <c r="E29" s="27">
        <v>0.0</v>
      </c>
      <c r="F29" s="28"/>
    </row>
    <row r="30" ht="15.75" customHeight="1">
      <c r="A30" s="26" t="s">
        <v>65</v>
      </c>
      <c r="E30" s="27">
        <v>0.0</v>
      </c>
      <c r="F30" s="28"/>
    </row>
    <row r="31" ht="15.75" customHeight="1">
      <c r="A31" s="26" t="s">
        <v>66</v>
      </c>
      <c r="E31" s="27">
        <f>E28+E29-E30</f>
        <v>0</v>
      </c>
      <c r="F31" s="28"/>
    </row>
    <row r="32" ht="15.75" customHeight="1">
      <c r="A32" s="26" t="s">
        <v>67</v>
      </c>
      <c r="E32" s="27" t="str">
        <f>IF(E31&gt;=90,"Excellent",IF(E31&gt;=75,"Good",IF(E31&gt;=60,"Needs Improvement","Poor")))</f>
        <v>Poor</v>
      </c>
      <c r="F32" s="28"/>
    </row>
    <row r="33" ht="15.75" customHeight="1">
      <c r="A33" s="12"/>
      <c r="B33" s="13"/>
      <c r="C33" s="14"/>
      <c r="D33" s="15"/>
      <c r="E33" s="15"/>
      <c r="F33" s="17"/>
    </row>
    <row r="34" ht="15.75" customHeight="1">
      <c r="A34" s="29" t="s">
        <v>68</v>
      </c>
      <c r="B34" s="13"/>
      <c r="C34" s="14"/>
      <c r="D34" s="15"/>
      <c r="E34" s="15"/>
      <c r="F34" s="17"/>
    </row>
    <row r="35" ht="15.75" customHeight="1">
      <c r="A35" s="12" t="s">
        <v>69</v>
      </c>
      <c r="B35" s="13"/>
      <c r="C35" s="14"/>
      <c r="D35" s="15"/>
      <c r="E35" s="15"/>
      <c r="F35" s="17"/>
    </row>
    <row r="36" ht="15.75" customHeight="1">
      <c r="A36" s="12" t="s">
        <v>70</v>
      </c>
      <c r="B36" s="13"/>
      <c r="C36" s="14"/>
      <c r="D36" s="15"/>
      <c r="E36" s="15"/>
      <c r="F36" s="17"/>
    </row>
    <row r="37" ht="15.75" customHeight="1">
      <c r="A37" s="12" t="s">
        <v>71</v>
      </c>
      <c r="B37" s="13"/>
      <c r="C37" s="14"/>
      <c r="D37" s="15"/>
      <c r="E37" s="15"/>
      <c r="F37" s="17"/>
    </row>
    <row r="38" ht="15.75" customHeight="1">
      <c r="A38" s="12" t="s">
        <v>72</v>
      </c>
      <c r="B38" s="13"/>
      <c r="C38" s="14"/>
      <c r="D38" s="15"/>
      <c r="E38" s="15"/>
      <c r="F38" s="17"/>
    </row>
    <row r="39" ht="15.75" customHeight="1">
      <c r="A39" s="12"/>
      <c r="B39" s="13"/>
      <c r="C39" s="14"/>
      <c r="D39" s="15"/>
      <c r="E39" s="15"/>
      <c r="F39" s="17"/>
    </row>
    <row r="40" ht="15.75" customHeight="1">
      <c r="A40" s="12" t="s">
        <v>73</v>
      </c>
      <c r="B40" s="13"/>
      <c r="C40" s="14"/>
      <c r="D40" s="15"/>
      <c r="E40" s="15"/>
      <c r="F40" s="17"/>
    </row>
    <row r="41" ht="15.75" customHeight="1">
      <c r="A41" s="30" t="s">
        <v>74</v>
      </c>
      <c r="B41" s="31"/>
      <c r="C41" s="32"/>
      <c r="D41" s="33"/>
      <c r="E41" s="33"/>
      <c r="F41" s="3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20:C20"/>
    <mergeCell ref="A23:C23"/>
    <mergeCell ref="A26:C26"/>
    <mergeCell ref="A28:D28"/>
    <mergeCell ref="A29:D29"/>
    <mergeCell ref="A30:D30"/>
    <mergeCell ref="A31:D31"/>
    <mergeCell ref="A32:D32"/>
    <mergeCell ref="A1:F1"/>
    <mergeCell ref="H1:J1"/>
    <mergeCell ref="A9:C9"/>
    <mergeCell ref="H10:I10"/>
    <mergeCell ref="H11:I11"/>
    <mergeCell ref="A13:C13"/>
    <mergeCell ref="A17:C17"/>
  </mergeCells>
  <conditionalFormatting sqref="E6:E28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conditionalFormatting sqref="E31">
    <cfRule type="cellIs" dxfId="0" priority="2" operator="greaterThanOrEqual">
      <formula>90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8.0"/>
    <col customWidth="1" min="3" max="3" width="34.0"/>
    <col customWidth="1" min="4" max="4" width="12.0"/>
    <col customWidth="1" min="5" max="5" width="14.0"/>
    <col customWidth="1" min="6" max="6" width="24.0"/>
    <col customWidth="1" min="7" max="7" width="8.63"/>
    <col customWidth="1" min="8" max="8" width="28.0"/>
    <col customWidth="1" min="9" max="9" width="10.0"/>
    <col customWidth="1" min="10" max="10" width="12.0"/>
    <col customWidth="1" min="11" max="26" width="8.63"/>
  </cols>
  <sheetData>
    <row r="1">
      <c r="A1" s="1" t="s">
        <v>0</v>
      </c>
      <c r="H1" s="1" t="s">
        <v>1</v>
      </c>
    </row>
    <row r="2">
      <c r="A2" s="2" t="s">
        <v>2</v>
      </c>
      <c r="B2" s="4" t="s">
        <v>4</v>
      </c>
      <c r="D2" s="3" t="s">
        <v>5</v>
      </c>
    </row>
    <row r="3">
      <c r="A3" s="2" t="s">
        <v>6</v>
      </c>
      <c r="D3" s="3" t="s">
        <v>7</v>
      </c>
      <c r="E3" s="5">
        <v>46113.0</v>
      </c>
      <c r="H3" s="6" t="s">
        <v>8</v>
      </c>
      <c r="I3" s="7" t="s">
        <v>9</v>
      </c>
      <c r="J3" s="8" t="s">
        <v>10</v>
      </c>
    </row>
    <row r="4">
      <c r="H4" s="9" t="s">
        <v>11</v>
      </c>
      <c r="I4" s="10">
        <v>40.0</v>
      </c>
      <c r="J4" s="11">
        <f>E9</f>
        <v>32.5</v>
      </c>
    </row>
    <row r="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 t="s">
        <v>17</v>
      </c>
      <c r="H5" s="9" t="s">
        <v>18</v>
      </c>
      <c r="I5" s="10">
        <v>15.0</v>
      </c>
      <c r="J5" s="11">
        <f>E13</f>
        <v>13</v>
      </c>
    </row>
    <row r="6">
      <c r="A6" s="12" t="s">
        <v>19</v>
      </c>
      <c r="B6" s="13" t="s">
        <v>11</v>
      </c>
      <c r="C6" s="14" t="s">
        <v>20</v>
      </c>
      <c r="D6" s="15">
        <v>20.0</v>
      </c>
      <c r="E6" s="16">
        <v>18.0</v>
      </c>
      <c r="F6" s="17"/>
      <c r="H6" s="9" t="s">
        <v>21</v>
      </c>
      <c r="I6" s="10">
        <v>15.0</v>
      </c>
      <c r="J6" s="11">
        <f>E17</f>
        <v>11</v>
      </c>
    </row>
    <row r="7">
      <c r="A7" s="12" t="s">
        <v>22</v>
      </c>
      <c r="B7" s="13" t="s">
        <v>11</v>
      </c>
      <c r="C7" s="14" t="s">
        <v>23</v>
      </c>
      <c r="D7" s="15">
        <v>10.0</v>
      </c>
      <c r="E7" s="16">
        <v>6.5</v>
      </c>
      <c r="F7" s="17"/>
      <c r="H7" s="9" t="s">
        <v>24</v>
      </c>
      <c r="I7" s="10">
        <v>10.0</v>
      </c>
      <c r="J7" s="11">
        <f>E20</f>
        <v>8</v>
      </c>
    </row>
    <row r="8">
      <c r="A8" s="12" t="s">
        <v>25</v>
      </c>
      <c r="B8" s="13" t="s">
        <v>11</v>
      </c>
      <c r="C8" s="14" t="s">
        <v>26</v>
      </c>
      <c r="D8" s="15">
        <v>10.0</v>
      </c>
      <c r="E8" s="16">
        <v>8.0</v>
      </c>
      <c r="F8" s="17"/>
      <c r="H8" s="9" t="s">
        <v>27</v>
      </c>
      <c r="I8" s="10">
        <v>10.0</v>
      </c>
      <c r="J8" s="11">
        <f>E23</f>
        <v>5.5</v>
      </c>
    </row>
    <row r="9">
      <c r="A9" s="18" t="s">
        <v>28</v>
      </c>
      <c r="D9" s="19">
        <f t="shared" ref="D9:E9" si="1">SUM(D6:D8)</f>
        <v>40</v>
      </c>
      <c r="E9" s="19">
        <f t="shared" si="1"/>
        <v>32.5</v>
      </c>
      <c r="F9" s="20"/>
      <c r="H9" s="9" t="s">
        <v>29</v>
      </c>
      <c r="I9" s="10">
        <v>10.0</v>
      </c>
      <c r="J9" s="11">
        <f>E26</f>
        <v>6</v>
      </c>
    </row>
    <row r="10">
      <c r="A10" s="12" t="s">
        <v>30</v>
      </c>
      <c r="B10" s="13" t="s">
        <v>18</v>
      </c>
      <c r="C10" s="14" t="s">
        <v>31</v>
      </c>
      <c r="D10" s="15">
        <v>5.0</v>
      </c>
      <c r="E10" s="16">
        <v>4.0</v>
      </c>
      <c r="F10" s="17"/>
      <c r="H10" s="21" t="s">
        <v>32</v>
      </c>
      <c r="J10" s="22">
        <f t="shared" ref="J10:J11" si="2">E31</f>
        <v>76</v>
      </c>
    </row>
    <row r="11">
      <c r="A11" s="12" t="s">
        <v>33</v>
      </c>
      <c r="B11" s="13" t="s">
        <v>18</v>
      </c>
      <c r="C11" s="14" t="s">
        <v>34</v>
      </c>
      <c r="D11" s="15">
        <v>5.0</v>
      </c>
      <c r="E11" s="16">
        <v>5.0</v>
      </c>
      <c r="F11" s="17"/>
      <c r="H11" s="23" t="s">
        <v>35</v>
      </c>
      <c r="I11" s="24"/>
      <c r="J11" s="25" t="str">
        <f t="shared" si="2"/>
        <v>Good</v>
      </c>
    </row>
    <row r="12">
      <c r="A12" s="12" t="s">
        <v>36</v>
      </c>
      <c r="B12" s="13" t="s">
        <v>18</v>
      </c>
      <c r="C12" s="14" t="s">
        <v>37</v>
      </c>
      <c r="D12" s="15">
        <v>5.0</v>
      </c>
      <c r="E12" s="16">
        <v>4.0</v>
      </c>
      <c r="F12" s="17"/>
    </row>
    <row r="13">
      <c r="A13" s="18" t="s">
        <v>38</v>
      </c>
      <c r="D13" s="19">
        <f t="shared" ref="D13:E13" si="3">SUM(D10:D12)</f>
        <v>15</v>
      </c>
      <c r="E13" s="19">
        <f t="shared" si="3"/>
        <v>13</v>
      </c>
      <c r="F13" s="20"/>
    </row>
    <row r="14">
      <c r="A14" s="12" t="s">
        <v>39</v>
      </c>
      <c r="B14" s="13" t="s">
        <v>21</v>
      </c>
      <c r="C14" s="14" t="s">
        <v>40</v>
      </c>
      <c r="D14" s="15">
        <v>5.0</v>
      </c>
      <c r="E14" s="16">
        <v>3.5</v>
      </c>
      <c r="F14" s="17"/>
    </row>
    <row r="15">
      <c r="A15" s="12" t="s">
        <v>41</v>
      </c>
      <c r="B15" s="13" t="s">
        <v>21</v>
      </c>
      <c r="C15" s="14" t="s">
        <v>42</v>
      </c>
      <c r="D15" s="15">
        <v>5.0</v>
      </c>
      <c r="E15" s="16">
        <v>4.0</v>
      </c>
      <c r="F15" s="17"/>
    </row>
    <row r="16">
      <c r="A16" s="12" t="s">
        <v>43</v>
      </c>
      <c r="B16" s="13" t="s">
        <v>21</v>
      </c>
      <c r="C16" s="14" t="s">
        <v>44</v>
      </c>
      <c r="D16" s="15">
        <v>5.0</v>
      </c>
      <c r="E16" s="16">
        <v>3.5</v>
      </c>
      <c r="F16" s="17"/>
    </row>
    <row r="17">
      <c r="A17" s="18" t="s">
        <v>45</v>
      </c>
      <c r="D17" s="19">
        <f t="shared" ref="D17:E17" si="4">SUM(D14:D16)</f>
        <v>15</v>
      </c>
      <c r="E17" s="19">
        <f t="shared" si="4"/>
        <v>11</v>
      </c>
      <c r="F17" s="20"/>
    </row>
    <row r="18">
      <c r="A18" s="12" t="s">
        <v>46</v>
      </c>
      <c r="B18" s="13" t="s">
        <v>24</v>
      </c>
      <c r="C18" s="14" t="s">
        <v>47</v>
      </c>
      <c r="D18" s="15">
        <v>5.0</v>
      </c>
      <c r="E18" s="16">
        <v>3.5</v>
      </c>
      <c r="F18" s="17"/>
    </row>
    <row r="19">
      <c r="A19" s="12" t="s">
        <v>48</v>
      </c>
      <c r="B19" s="13" t="s">
        <v>24</v>
      </c>
      <c r="C19" s="14" t="s">
        <v>49</v>
      </c>
      <c r="D19" s="15">
        <v>5.0</v>
      </c>
      <c r="E19" s="16">
        <v>4.5</v>
      </c>
      <c r="F19" s="17"/>
    </row>
    <row r="20">
      <c r="A20" s="18" t="s">
        <v>50</v>
      </c>
      <c r="D20" s="19">
        <f t="shared" ref="D20:E20" si="5">SUM(D18:D19)</f>
        <v>10</v>
      </c>
      <c r="E20" s="19">
        <f t="shared" si="5"/>
        <v>8</v>
      </c>
      <c r="F20" s="20"/>
    </row>
    <row r="21" ht="15.75" customHeight="1">
      <c r="A21" s="12" t="s">
        <v>51</v>
      </c>
      <c r="B21" s="13" t="s">
        <v>52</v>
      </c>
      <c r="C21" s="14" t="s">
        <v>53</v>
      </c>
      <c r="D21" s="15">
        <v>5.0</v>
      </c>
      <c r="E21" s="16">
        <v>3.0</v>
      </c>
      <c r="F21" s="17"/>
    </row>
    <row r="22" ht="15.75" customHeight="1">
      <c r="A22" s="12" t="s">
        <v>54</v>
      </c>
      <c r="B22" s="13" t="s">
        <v>52</v>
      </c>
      <c r="C22" s="14" t="s">
        <v>55</v>
      </c>
      <c r="D22" s="15">
        <v>5.0</v>
      </c>
      <c r="E22" s="16">
        <v>2.5</v>
      </c>
      <c r="F22" s="17"/>
    </row>
    <row r="23" ht="15.75" customHeight="1">
      <c r="A23" s="18" t="s">
        <v>56</v>
      </c>
      <c r="D23" s="19">
        <f t="shared" ref="D23:E23" si="6">SUM(D21:D22)</f>
        <v>10</v>
      </c>
      <c r="E23" s="19">
        <f t="shared" si="6"/>
        <v>5.5</v>
      </c>
      <c r="F23" s="20"/>
    </row>
    <row r="24" ht="15.75" customHeight="1">
      <c r="A24" s="12" t="s">
        <v>57</v>
      </c>
      <c r="B24" s="13" t="s">
        <v>58</v>
      </c>
      <c r="C24" s="14" t="s">
        <v>59</v>
      </c>
      <c r="D24" s="15">
        <v>5.0</v>
      </c>
      <c r="E24" s="16">
        <v>3.0</v>
      </c>
      <c r="F24" s="17"/>
    </row>
    <row r="25" ht="15.75" customHeight="1">
      <c r="A25" s="12" t="s">
        <v>60</v>
      </c>
      <c r="B25" s="13" t="s">
        <v>58</v>
      </c>
      <c r="C25" s="14" t="s">
        <v>61</v>
      </c>
      <c r="D25" s="15">
        <v>5.0</v>
      </c>
      <c r="E25" s="16">
        <v>3.0</v>
      </c>
      <c r="F25" s="17"/>
    </row>
    <row r="26" ht="15.75" customHeight="1">
      <c r="A26" s="18" t="s">
        <v>62</v>
      </c>
      <c r="D26" s="19">
        <f t="shared" ref="D26:E26" si="7">SUM(D24:D25)</f>
        <v>10</v>
      </c>
      <c r="E26" s="19">
        <f t="shared" si="7"/>
        <v>6</v>
      </c>
      <c r="F26" s="20"/>
    </row>
    <row r="27" ht="15.75" customHeight="1">
      <c r="A27" s="12"/>
      <c r="B27" s="13"/>
      <c r="C27" s="14"/>
      <c r="D27" s="15"/>
      <c r="E27" s="15"/>
      <c r="F27" s="17"/>
    </row>
    <row r="28" ht="15.75" customHeight="1">
      <c r="A28" s="26" t="s">
        <v>63</v>
      </c>
      <c r="E28" s="27">
        <f>SUM(E9,E13,E17,E20,E23,E26)</f>
        <v>76</v>
      </c>
      <c r="F28" s="28"/>
    </row>
    <row r="29" ht="15.75" customHeight="1">
      <c r="A29" s="26" t="s">
        <v>64</v>
      </c>
      <c r="E29" s="27">
        <v>0.0</v>
      </c>
      <c r="F29" s="28"/>
    </row>
    <row r="30" ht="15.75" customHeight="1">
      <c r="A30" s="26" t="s">
        <v>65</v>
      </c>
      <c r="E30" s="27">
        <v>0.0</v>
      </c>
      <c r="F30" s="28"/>
    </row>
    <row r="31" ht="15.75" customHeight="1">
      <c r="A31" s="26" t="s">
        <v>66</v>
      </c>
      <c r="E31" s="27">
        <f>E28+E29-E30</f>
        <v>76</v>
      </c>
      <c r="F31" s="28"/>
    </row>
    <row r="32" ht="15.75" customHeight="1">
      <c r="A32" s="26" t="s">
        <v>67</v>
      </c>
      <c r="E32" s="27" t="str">
        <f>IF(E31&gt;=90,"Excellent",IF(E31&gt;=75,"Good",IF(E31&gt;=60,"Needs Improvement","Poor")))</f>
        <v>Good</v>
      </c>
      <c r="F32" s="28"/>
    </row>
    <row r="33" ht="15.75" customHeight="1">
      <c r="A33" s="12"/>
      <c r="B33" s="13"/>
      <c r="C33" s="14"/>
      <c r="D33" s="15"/>
      <c r="E33" s="15"/>
      <c r="F33" s="17"/>
    </row>
    <row r="34" ht="15.75" customHeight="1">
      <c r="A34" s="29" t="s">
        <v>68</v>
      </c>
      <c r="B34" s="13"/>
      <c r="C34" s="14"/>
      <c r="D34" s="15"/>
      <c r="E34" s="15"/>
      <c r="F34" s="17"/>
    </row>
    <row r="35" ht="15.75" customHeight="1">
      <c r="A35" s="12" t="s">
        <v>69</v>
      </c>
      <c r="B35" s="13"/>
      <c r="C35" s="14"/>
      <c r="D35" s="15"/>
      <c r="E35" s="15"/>
      <c r="F35" s="17"/>
    </row>
    <row r="36" ht="15.75" customHeight="1">
      <c r="A36" s="12" t="s">
        <v>70</v>
      </c>
      <c r="B36" s="13"/>
      <c r="C36" s="14"/>
      <c r="D36" s="15"/>
      <c r="E36" s="15"/>
      <c r="F36" s="17"/>
    </row>
    <row r="37" ht="15.75" customHeight="1">
      <c r="A37" s="12" t="s">
        <v>71</v>
      </c>
      <c r="B37" s="13"/>
      <c r="C37" s="14"/>
      <c r="D37" s="15"/>
      <c r="E37" s="15"/>
      <c r="F37" s="17"/>
    </row>
    <row r="38" ht="15.75" customHeight="1">
      <c r="A38" s="12" t="s">
        <v>72</v>
      </c>
      <c r="B38" s="13"/>
      <c r="C38" s="14"/>
      <c r="D38" s="15"/>
      <c r="E38" s="15"/>
      <c r="F38" s="17"/>
    </row>
    <row r="39" ht="15.75" customHeight="1">
      <c r="A39" s="12"/>
      <c r="B39" s="13"/>
      <c r="C39" s="14"/>
      <c r="D39" s="15"/>
      <c r="E39" s="15"/>
      <c r="F39" s="17"/>
    </row>
    <row r="40" ht="15.75" customHeight="1">
      <c r="A40" s="12" t="s">
        <v>73</v>
      </c>
      <c r="B40" s="13"/>
      <c r="C40" s="14"/>
      <c r="D40" s="15"/>
      <c r="E40" s="15"/>
      <c r="F40" s="17"/>
    </row>
    <row r="41" ht="15.75" customHeight="1">
      <c r="A41" s="30" t="s">
        <v>74</v>
      </c>
      <c r="B41" s="31"/>
      <c r="C41" s="32"/>
      <c r="D41" s="33"/>
      <c r="E41" s="33"/>
      <c r="F41" s="3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20:C20"/>
    <mergeCell ref="A23:C23"/>
    <mergeCell ref="A26:C26"/>
    <mergeCell ref="A28:D28"/>
    <mergeCell ref="A29:D29"/>
    <mergeCell ref="A30:D30"/>
    <mergeCell ref="A31:D31"/>
    <mergeCell ref="A32:D32"/>
    <mergeCell ref="A1:F1"/>
    <mergeCell ref="H1:J1"/>
    <mergeCell ref="A9:C9"/>
    <mergeCell ref="H10:I10"/>
    <mergeCell ref="H11:I11"/>
    <mergeCell ref="A13:C13"/>
    <mergeCell ref="A17:C17"/>
  </mergeCells>
  <conditionalFormatting sqref="E6:E28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conditionalFormatting sqref="E31">
    <cfRule type="cellIs" dxfId="0" priority="2" operator="greaterThanOrEqual">
      <formula>90</formula>
    </cfRule>
  </conditionalFormatting>
  <printOptions/>
  <pageMargins bottom="0.75" footer="0.0" header="0.0" left="0.7" right="0.7" top="0.75"/>
  <pageSetup orientation="landscape"/>
  <drawing r:id="rId1"/>
</worksheet>
</file>